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sieiro\Downloads\"/>
    </mc:Choice>
  </mc:AlternateContent>
  <xr:revisionPtr revIDLastSave="0" documentId="13_ncr:1_{F353F4FA-0606-43F1-894C-8290F7B30944}" xr6:coauthVersionLast="47" xr6:coauthVersionMax="47" xr10:uidLastSave="{00000000-0000-0000-0000-000000000000}"/>
  <bookViews>
    <workbookView xWindow="-108" yWindow="-108" windowWidth="15576" windowHeight="8712" xr2:uid="{B80083CD-1C1E-41D5-BE04-2C929030B1F4}"/>
  </bookViews>
  <sheets>
    <sheet name="rs" sheetId="2" r:id="rId1"/>
    <sheet name="Hoja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9" i="2" l="1"/>
  <c r="H18" i="2"/>
  <c r="H17" i="2"/>
  <c r="H16" i="2"/>
  <c r="H15" i="2"/>
  <c r="H14" i="2"/>
  <c r="H21" i="2"/>
  <c r="H20" i="2"/>
  <c r="H6" i="2"/>
  <c r="H5" i="2"/>
  <c r="H4" i="2"/>
  <c r="H13" i="2"/>
  <c r="H12" i="2"/>
  <c r="H11" i="2"/>
  <c r="H10" i="2"/>
  <c r="H9" i="2"/>
  <c r="H7" i="2"/>
  <c r="H8" i="2"/>
  <c r="H3" i="2"/>
  <c r="H2" i="2"/>
</calcChain>
</file>

<file path=xl/sharedStrings.xml><?xml version="1.0" encoding="utf-8"?>
<sst xmlns="http://schemas.openxmlformats.org/spreadsheetml/2006/main" count="132" uniqueCount="91">
  <si>
    <t>Distribuidor</t>
  </si>
  <si>
    <t>Dispositiu</t>
  </si>
  <si>
    <t>Referència del fabricant</t>
  </si>
  <si>
    <t>Referència del distribuïdor</t>
  </si>
  <si>
    <t xml:space="preserve">Preu unitari </t>
  </si>
  <si>
    <t>QUANTITAT Necessària</t>
  </si>
  <si>
    <t>QUANTITAT Mínima</t>
  </si>
  <si>
    <t xml:space="preserve">Preu Total </t>
  </si>
  <si>
    <t>Link de compra</t>
  </si>
  <si>
    <t>Comentaris</t>
  </si>
  <si>
    <t>RS</t>
  </si>
  <si>
    <t>Bloque de terminal PCB Macho RS PRO de 2 vías, paso 5.08mm, 10A, de color Verde, montaje Montaje en orificio pasante,</t>
  </si>
  <si>
    <t>146-8345</t>
  </si>
  <si>
    <t>link</t>
  </si>
  <si>
    <t>Bloque de terminal PCB Hembra Ángulo recto RS PRO de 3 vías, paso 5.08mm, 25A, de color Verde, montaje Montaje en</t>
  </si>
  <si>
    <t>790-1155</t>
  </si>
  <si>
    <t>MOSFET, IRFR1205TRPBF, N-Canal-Canal, 44 A, 55 V, 3-Pin, DPAK (TO-252) HEXFET Simple Si</t>
  </si>
  <si>
    <t>IRFR1205TRPBF</t>
  </si>
  <si>
    <t>827-4026</t>
  </si>
  <si>
    <t>LED Lite-On, Rojo, 625 nm, Vf= 2,6 V, 60°, mont. pasante, encapsulado 3 mm (T-1)</t>
  </si>
  <si>
    <t>LTL-4221N</t>
  </si>
  <si>
    <t>127-8400</t>
  </si>
  <si>
    <t>Módulo controlador de puerta IR2301SPBF, CMOS, LSTTL 350 mA SOIC 8 pines</t>
  </si>
  <si>
    <t>IR2301SPBF</t>
  </si>
  <si>
    <t>262-6704P</t>
  </si>
  <si>
    <t>Diodo, 1N4149, Pequeña señal, 500mA, 100V, 4ns, DO-35, 2-Pines</t>
  </si>
  <si>
    <t>1N4149</t>
  </si>
  <si>
    <t>186-7651</t>
  </si>
  <si>
    <t>Farnell</t>
  </si>
  <si>
    <t>Condensador Electrolítico Aluminio SMD, Radial - SMD, 470 µF, 35 V, 2000 horas a 105°C, Polar</t>
  </si>
  <si>
    <t>MCVFZ035M471XB6L</t>
  </si>
  <si>
    <t>CondensadorAluminio electrolítico Panasonic serie FK SMD, 680μF, ±20%, 50V dc, mont. SMD, 16 (Dia.) x 16.5mm</t>
  </si>
  <si>
    <t>EEEFK1H681AM</t>
  </si>
  <si>
    <t>109-3186</t>
  </si>
  <si>
    <t>Potenciometro con película de carbono de 10kΩ, ±10%, 0.1W, serie RK163, 1 vuelta, eje de 6 mm de Ø, Montaje en Panel</t>
  </si>
  <si>
    <t>RK1631110TWA</t>
  </si>
  <si>
    <t>172-6361</t>
  </si>
  <si>
    <t>Conector hembra para PCB ASSMANN WSW, de 20 vías en 2 filas, paso 2.54mm, 500 V, 12A, montaje orificio pasante,</t>
  </si>
  <si>
    <t>A-BL254-DG-G20D</t>
  </si>
  <si>
    <t>113-8592</t>
  </si>
  <si>
    <t>Regleta de pines Wurth Elektronik serie WR-PHD de 40 vías, 1 fila, paso 2.54mm, para soldar, Orificio Pasante</t>
  </si>
  <si>
    <t>163-5305</t>
  </si>
  <si>
    <t>Conector hembra para PCB Ángulo recto Wurth Elektronik serie WR-PHD, de 40 vías en 1 fila, paso 2.54mm</t>
  </si>
  <si>
    <t>233-9486</t>
  </si>
  <si>
    <t>L7805CV</t>
  </si>
  <si>
    <t>918-1971</t>
  </si>
  <si>
    <t>Regulador de tensión LM317T/NOPB, 1.5A TO-220, 3 pines, Ajustable</t>
  </si>
  <si>
    <t>LM317T/NOPB</t>
  </si>
  <si>
    <t>100-5905</t>
  </si>
  <si>
    <t>Convertidor dc-dc AP1509-50SG-13, Controlador Buck, 2A SOP, 8 pines, Fijo, 150 kHz</t>
  </si>
  <si>
    <t>AP1509-50SG-13</t>
  </si>
  <si>
    <t>751-2923</t>
  </si>
  <si>
    <t>Comparador LM339D Colector Abierto 1.3μs 4-Canales, 3 → 28 V 14-Pines SOIC</t>
  </si>
  <si>
    <t>LM339D</t>
  </si>
  <si>
    <t>858-411</t>
  </si>
  <si>
    <t>És exemple pel pinout i encapsulat</t>
  </si>
  <si>
    <t>Comparador LM311DR Colector/emisor abierto 0.165μs 1-Canales, 5 → 28 V 8-Pines SOIC</t>
  </si>
  <si>
    <t>LM311DR</t>
  </si>
  <si>
    <t>528-157</t>
  </si>
  <si>
    <t>connector motor</t>
  </si>
  <si>
    <t>connector alimentació</t>
  </si>
  <si>
    <t>Cond entrada alimentació radial SMT</t>
  </si>
  <si>
    <t>NMOS de potencia DPACK</t>
  </si>
  <si>
    <t xml:space="preserve">LED alimentació </t>
  </si>
  <si>
    <t>connector launchpad</t>
  </si>
  <si>
    <t>connector mascle 2.54mm</t>
  </si>
  <si>
    <t>generic famella 2.54mm
recomanat test points i SPI</t>
  </si>
  <si>
    <t>Driver doble alt i baix per NMOS de potència. Encapsulat SOIC</t>
  </si>
  <si>
    <t>Díode bootstrap</t>
  </si>
  <si>
    <t>buck ajustable</t>
  </si>
  <si>
    <t>resistències</t>
  </si>
  <si>
    <t>sèrie E6 des de 1Ohm fins a 1MEGOhm</t>
  </si>
  <si>
    <t>Components SMD 1206</t>
  </si>
  <si>
    <t>condensadors (nF)</t>
  </si>
  <si>
    <t xml:space="preserve">0.1 - 1 - 2.2  - 3.3 - 4.7 - 6.8 - 10 - 22 -33 - 47 - 68 - 100 - 220 - 330 - 470 - 680 -1000 -2200 - 10000 </t>
  </si>
  <si>
    <t>potenciometre de control duty ESC
NO ES POT SOLDAR A LA PCB</t>
  </si>
  <si>
    <t>Regulador de tensión L7805CV, 1.5A, 3 pines</t>
  </si>
  <si>
    <t>En tenim uns 5
Comprar segons demanda
Altres encapsulats: D2T, DPACK, 3DPACK, TO-252-3</t>
  </si>
  <si>
    <t xml:space="preserve">13 DPACK
9 TO-252-3
4 3DPACK
</t>
  </si>
  <si>
    <t>Regulador de tensión L7805CD2T-TR, 1.5A D2PAK, 3 pines</t>
  </si>
  <si>
    <t>L7805CD2T-TR</t>
  </si>
  <si>
    <t>714-0657P</t>
  </si>
  <si>
    <t>regulador linial fix a 5V, encapsulat D2PAK</t>
  </si>
  <si>
    <t>Regulador de tensión LMS8117AMP-3.3/NOPB, 1A SOT-223, 3+Tab pines</t>
  </si>
  <si>
    <t>LMS8117AMP-3.3/NOPB</t>
  </si>
  <si>
    <t>536-0313P</t>
  </si>
  <si>
    <t>regulador de tensió a 3'3V, encapsulat SOT-223</t>
  </si>
  <si>
    <t>És fix a 5 V</t>
  </si>
  <si>
    <t>Regulador de conmutación LM2575TV-ADJG, Controlador Buck, 1A TO-220, 5 pines, Ajustable, 52 kHz</t>
  </si>
  <si>
    <t>LM2575TV-ADJG</t>
  </si>
  <si>
    <t>786-2353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</si>
</sst>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00\ &quot;€&quot;"/>
    <numFmt numFmtId="165" formatCode="#,##0.00&quot; € &quot;;\-#,##0.00&quot; € &quot;;&quot; -&quot;#&quot; € &quot;;@\ "/>
    <numFmt numFmtId="167" formatCode="#,##0.00\ &quot;€&quot;"/>
    <numFmt numFmtId="168" formatCode="_-* #,##0.00\ _€_-;\-* #,##0.00\ _€_-;_-* &quot;-&quot;??\ _€_-;_-@_-"/>
  </numFmts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indexed="8"/>
      <name val="Calibri"/>
      <family val="2"/>
    </font>
    <font>
      <sz val="11"/>
      <color indexed="8"/>
      <name val="Calibr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165" fontId="3" fillId="0" borderId="0"/>
    <xf numFmtId="0" fontId="1" fillId="0" borderId="0" applyNumberFormat="0" applyFill="0" applyBorder="0" applyAlignment="0" applyProtection="0"/>
    <xf numFmtId="0" fontId="4" fillId="0" borderId="0"/>
    <xf numFmtId="168" fontId="4" fillId="0" borderId="0" applyFont="0" applyFill="0" applyBorder="0" applyAlignment="0" applyProtection="0"/>
  </cellStyleXfs>
  <cellXfs count="34">
    <xf numFmtId="0" fontId="0" fillId="0" borderId="0" xfId="0"/>
    <xf numFmtId="0" fontId="2" fillId="2" borderId="1" xfId="0" applyFont="1" applyFill="1" applyBorder="1" applyAlignment="1">
      <alignment horizontal="center" vertical="center" wrapText="1" readingOrder="1"/>
    </xf>
    <xf numFmtId="0" fontId="2" fillId="2" borderId="1" xfId="0" applyFont="1" applyFill="1" applyBorder="1" applyAlignment="1">
      <alignment horizontal="left" vertical="center" wrapText="1" readingOrder="1"/>
    </xf>
    <xf numFmtId="0" fontId="2" fillId="2" borderId="1" xfId="0" applyFont="1" applyFill="1" applyBorder="1" applyAlignment="1">
      <alignment vertical="center" wrapText="1" readingOrder="1"/>
    </xf>
    <xf numFmtId="0" fontId="0" fillId="3" borderId="2" xfId="0" applyFill="1" applyBorder="1" applyAlignment="1">
      <alignment horizontal="center" vertical="center"/>
    </xf>
    <xf numFmtId="0" fontId="0" fillId="3" borderId="2" xfId="0" applyFill="1" applyBorder="1" applyAlignment="1">
      <alignment horizontal="left" wrapText="1"/>
    </xf>
    <xf numFmtId="164" fontId="0" fillId="3" borderId="2" xfId="0" applyNumberFormat="1" applyFill="1" applyBorder="1" applyAlignment="1">
      <alignment vertical="center"/>
    </xf>
    <xf numFmtId="0" fontId="0" fillId="3" borderId="2" xfId="0" applyFill="1" applyBorder="1" applyAlignment="1">
      <alignment vertical="center"/>
    </xf>
    <xf numFmtId="165" fontId="3" fillId="3" borderId="2" xfId="2" applyFill="1" applyBorder="1" applyAlignment="1">
      <alignment vertical="center"/>
    </xf>
    <xf numFmtId="0" fontId="1" fillId="3" borderId="2" xfId="3" applyFill="1" applyBorder="1" applyAlignment="1">
      <alignment horizontal="center" vertical="center"/>
    </xf>
    <xf numFmtId="0" fontId="0" fillId="3" borderId="2" xfId="0" applyFill="1" applyBorder="1" applyAlignment="1">
      <alignment wrapText="1"/>
    </xf>
    <xf numFmtId="0" fontId="0" fillId="3" borderId="0" xfId="0" applyFill="1"/>
    <xf numFmtId="0" fontId="0" fillId="3" borderId="2" xfId="0" applyFill="1" applyBorder="1" applyAlignment="1">
      <alignment horizontal="left" vertical="center" wrapText="1"/>
    </xf>
    <xf numFmtId="0" fontId="0" fillId="3" borderId="2" xfId="0" applyFill="1" applyBorder="1" applyAlignment="1">
      <alignment horizontal="center" vertical="center" wrapText="1"/>
    </xf>
    <xf numFmtId="0" fontId="0" fillId="0" borderId="2" xfId="0" applyBorder="1" applyAlignment="1">
      <alignment horizontal="left" wrapText="1"/>
    </xf>
    <xf numFmtId="0" fontId="0" fillId="0" borderId="2" xfId="0" applyBorder="1" applyAlignment="1">
      <alignment horizontal="center" vertical="center"/>
    </xf>
    <xf numFmtId="167" fontId="0" fillId="0" borderId="2" xfId="0" applyNumberFormat="1" applyBorder="1" applyAlignment="1">
      <alignment horizontal="right" vertical="center"/>
    </xf>
    <xf numFmtId="0" fontId="0" fillId="0" borderId="2" xfId="0" applyBorder="1" applyAlignment="1">
      <alignment horizontal="right" vertical="center"/>
    </xf>
    <xf numFmtId="0" fontId="1" fillId="0" borderId="2" xfId="3" applyFill="1" applyBorder="1" applyAlignment="1">
      <alignment horizontal="center" vertical="center"/>
    </xf>
    <xf numFmtId="0" fontId="0" fillId="0" borderId="2" xfId="0" applyBorder="1" applyAlignment="1">
      <alignment wrapText="1"/>
    </xf>
    <xf numFmtId="0" fontId="4" fillId="0" borderId="2" xfId="4" applyBorder="1" applyAlignment="1">
      <alignment horizontal="center" vertical="center"/>
    </xf>
    <xf numFmtId="0" fontId="3" fillId="0" borderId="2" xfId="2" applyNumberFormat="1" applyBorder="1" applyAlignment="1">
      <alignment horizontal="center" vertical="center"/>
    </xf>
    <xf numFmtId="165" fontId="3" fillId="0" borderId="2" xfId="2" applyBorder="1" applyAlignment="1">
      <alignment vertical="center"/>
    </xf>
    <xf numFmtId="1" fontId="4" fillId="0" borderId="2" xfId="4" applyNumberFormat="1" applyBorder="1" applyAlignment="1">
      <alignment vertical="center"/>
    </xf>
    <xf numFmtId="1" fontId="4" fillId="0" borderId="2" xfId="5" applyNumberFormat="1" applyFont="1" applyFill="1" applyBorder="1" applyAlignment="1">
      <alignment vertical="center"/>
    </xf>
    <xf numFmtId="165" fontId="3" fillId="0" borderId="2" xfId="2" applyBorder="1" applyAlignment="1">
      <alignment vertical="center" wrapText="1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vertical="center"/>
    </xf>
    <xf numFmtId="0" fontId="1" fillId="0" borderId="2" xfId="1" applyFill="1" applyBorder="1" applyAlignment="1">
      <alignment horizontal="center" vertical="center"/>
    </xf>
    <xf numFmtId="0" fontId="0" fillId="3" borderId="2" xfId="0" applyFill="1" applyBorder="1" applyAlignment="1">
      <alignment horizontal="left" vertical="center"/>
    </xf>
    <xf numFmtId="0" fontId="0" fillId="0" borderId="2" xfId="0" applyBorder="1"/>
    <xf numFmtId="0" fontId="0" fillId="0" borderId="2" xfId="0" applyBorder="1" applyAlignment="1">
      <alignment horizontal="center" vertical="center" wrapText="1"/>
    </xf>
    <xf numFmtId="0" fontId="0" fillId="4" borderId="2" xfId="0" applyFill="1" applyBorder="1" applyAlignment="1">
      <alignment wrapText="1"/>
    </xf>
    <xf numFmtId="0" fontId="0" fillId="3" borderId="2" xfId="0" applyFill="1" applyBorder="1" applyAlignment="1">
      <alignment vertical="center" wrapText="1"/>
    </xf>
  </cellXfs>
  <cellStyles count="6">
    <cellStyle name="Excel Built-in Currency" xfId="2" xr:uid="{1940F043-B1C6-40AF-83A3-FF7ADA8E28F9}"/>
    <cellStyle name="Hipervínculo" xfId="1" builtinId="8"/>
    <cellStyle name="Hipervínculo 2" xfId="3" xr:uid="{8B39DA3B-A6D1-437E-94DF-58E662688682}"/>
    <cellStyle name="Millares 3" xfId="5" xr:uid="{0312D372-9727-4847-999C-56842D29BB6D}"/>
    <cellStyle name="Normal" xfId="0" builtinId="0"/>
    <cellStyle name="Normal 2" xfId="4" xr:uid="{146F1FEE-7C3E-4013-B9E3-926D12D53E0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s.rs-online.com/web/p/condensadores-de-aluminio/1093186?gb=s" TargetMode="External"/><Relationship Id="rId13" Type="http://schemas.openxmlformats.org/officeDocument/2006/relationships/hyperlink" Target="https://es.rs-online.com/web/p/comparadores/0858411?gb=s" TargetMode="External"/><Relationship Id="rId18" Type="http://schemas.openxmlformats.org/officeDocument/2006/relationships/hyperlink" Target="https://es.rs-online.com/web/p/convertidores-buck/1003979?gb=s" TargetMode="External"/><Relationship Id="rId3" Type="http://schemas.openxmlformats.org/officeDocument/2006/relationships/hyperlink" Target="https://es.rs-online.com/web/p/bornes-para-pcb/7901155?gb=b" TargetMode="External"/><Relationship Id="rId21" Type="http://schemas.openxmlformats.org/officeDocument/2006/relationships/printerSettings" Target="../printerSettings/printerSettings1.bin"/><Relationship Id="rId7" Type="http://schemas.openxmlformats.org/officeDocument/2006/relationships/hyperlink" Target="https://es.farnell.com/multicomp/mcvfz035m471xb6l/conden-470-f-35v-smd/dp/2627682" TargetMode="External"/><Relationship Id="rId12" Type="http://schemas.openxmlformats.org/officeDocument/2006/relationships/hyperlink" Target="https://es.rs-online.com/web/p/conectores-macho-para-pcb/1635305?gb=s" TargetMode="External"/><Relationship Id="rId17" Type="http://schemas.openxmlformats.org/officeDocument/2006/relationships/hyperlink" Target="https://es.rs-online.com/web/p/convertidores-buck/7512923?gb=s" TargetMode="External"/><Relationship Id="rId2" Type="http://schemas.openxmlformats.org/officeDocument/2006/relationships/hyperlink" Target="https://es.rs-online.com/web/p/mosfet/8303357/" TargetMode="External"/><Relationship Id="rId16" Type="http://schemas.openxmlformats.org/officeDocument/2006/relationships/hyperlink" Target="https://es.rs-online.com/web/p/reguladores-de-tension/1005905?gb=s" TargetMode="External"/><Relationship Id="rId20" Type="http://schemas.openxmlformats.org/officeDocument/2006/relationships/hyperlink" Target="https://es.rs-online.com/web/p/reguladores-de-tension/7140657P?cm_mmc=es-DS-APP-_-PCB-_-VIEW-_-7140657P&amp;utm_campaign=7140657P&amp;utm_medium=PCB&amp;utm_source=es-DS-APP" TargetMode="External"/><Relationship Id="rId1" Type="http://schemas.openxmlformats.org/officeDocument/2006/relationships/hyperlink" Target="https://es.rs-online.com/web/p/bornes-para-pcb/1468345?gb=b" TargetMode="External"/><Relationship Id="rId6" Type="http://schemas.openxmlformats.org/officeDocument/2006/relationships/hyperlink" Target="https://es.rs-online.com/web/p/diodos-schottky-y-rectificadores/1867651?gb=s" TargetMode="External"/><Relationship Id="rId11" Type="http://schemas.openxmlformats.org/officeDocument/2006/relationships/hyperlink" Target="https://es.rs-online.com/web/p/conectores-macho-para-pcb/1635305?gb=s" TargetMode="External"/><Relationship Id="rId5" Type="http://schemas.openxmlformats.org/officeDocument/2006/relationships/hyperlink" Target="https://es.rs-online.com/web/p/drivers-de-potencia/2626704P" TargetMode="External"/><Relationship Id="rId15" Type="http://schemas.openxmlformats.org/officeDocument/2006/relationships/hyperlink" Target="https://es.rs-online.com/web/p/reguladores-de-tension/9181971?gb=s" TargetMode="External"/><Relationship Id="rId10" Type="http://schemas.openxmlformats.org/officeDocument/2006/relationships/hyperlink" Target="https://es.rs-online.com/web/p/conectores-hembra-para-pcb/1138592/?relevancy-data=7365617263685F636173636164655F6F726465723D31267365617263685F696E746572666163655F6E616D653D4931384E525353746F636B4E756D626572267365617263685F6C616E67756167655F757365643D656E267365617263685F6D617463685F6D6F64653D6D61746368616C6C267365617263685F7061747465726E5F6D6174636865643D5E2828282872737C5253295B205D3F293F285C647B337D5B5C2D5C735D3F5C647B332C347D5B705061415D3F29297C283235285C647B387D7C5C647B317D5C2D5C647B377D29292924267365617263685F7061747465726E5F6F726465723D31267365617263685F73745F6E6F726D616C697365643D59267365617263685F726573706F6E73655F616374696F6E3D267365617263685F747970653D52535F53544F434B5F4E554D424552267365617263685F77696C645F63617264696E675F6D6F64653D4E4F4E45267365617263685F6B6579776F72643D3131332D38353932267365617263685F6B6579776F72645F6170703D31313338353932267365617263685F636F6E6669673D3126&amp;searchHistory=%7B%22enabled%22%3Atrue%7D" TargetMode="External"/><Relationship Id="rId19" Type="http://schemas.openxmlformats.org/officeDocument/2006/relationships/hyperlink" Target="https://es.rs-online.com/web/p/reguladores-de-tension/5360313P?cm_mmc=es-DS-APP-_-PCB-_-VIEW-_-5360313P&amp;utm_campaign=5360313P&amp;utm_medium=PCB&amp;utm_source=es-DS-APP" TargetMode="External"/><Relationship Id="rId4" Type="http://schemas.openxmlformats.org/officeDocument/2006/relationships/hyperlink" Target="https://es.rs-online.com/web/p/leds/1278400?gb=s" TargetMode="External"/><Relationship Id="rId9" Type="http://schemas.openxmlformats.org/officeDocument/2006/relationships/hyperlink" Target="https://es.rs-online.com/web/p/potenciometros/2499238?gb=s" TargetMode="External"/><Relationship Id="rId14" Type="http://schemas.openxmlformats.org/officeDocument/2006/relationships/hyperlink" Target="https://es.rs-online.com/web/p/comparadores/0528157?gb=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B7D0C-4226-432C-B929-B07F2B31A9DC}">
  <dimension ref="A1:M25"/>
  <sheetViews>
    <sheetView tabSelected="1" topLeftCell="A18" workbookViewId="0">
      <selection activeCell="B19" sqref="B19"/>
    </sheetView>
  </sheetViews>
  <sheetFormatPr baseColWidth="10" defaultRowHeight="14.4" x14ac:dyDescent="0.3"/>
  <cols>
    <col min="1" max="1" width="15" customWidth="1"/>
    <col min="2" max="2" width="38.44140625" customWidth="1"/>
    <col min="3" max="3" width="19.33203125" customWidth="1"/>
    <col min="4" max="4" width="20.33203125" customWidth="1"/>
    <col min="6" max="6" width="15.6640625" customWidth="1"/>
    <col min="7" max="7" width="15.33203125" customWidth="1"/>
    <col min="10" max="10" width="29.33203125" customWidth="1"/>
  </cols>
  <sheetData>
    <row r="1" spans="1:13" ht="31.2" x14ac:dyDescent="0.3">
      <c r="A1" s="1" t="s">
        <v>0</v>
      </c>
      <c r="B1" s="1" t="s">
        <v>1</v>
      </c>
      <c r="C1" s="2" t="s">
        <v>2</v>
      </c>
      <c r="D1" s="3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3" s="11" customFormat="1" ht="43.2" x14ac:dyDescent="0.3">
      <c r="A2" s="4" t="s">
        <v>10</v>
      </c>
      <c r="B2" s="5" t="s">
        <v>11</v>
      </c>
      <c r="C2" s="4" t="s">
        <v>12</v>
      </c>
      <c r="D2" s="4" t="s">
        <v>12</v>
      </c>
      <c r="E2" s="6">
        <v>0.43</v>
      </c>
      <c r="F2" s="7">
        <v>10</v>
      </c>
      <c r="G2" s="7">
        <v>10</v>
      </c>
      <c r="H2" s="8">
        <f t="shared" ref="H2:H14" si="0">E2*F2</f>
        <v>4.3</v>
      </c>
      <c r="I2" s="9" t="s">
        <v>13</v>
      </c>
      <c r="J2" s="10" t="s">
        <v>60</v>
      </c>
    </row>
    <row r="3" spans="1:13" s="11" customFormat="1" ht="43.2" x14ac:dyDescent="0.3">
      <c r="A3" s="4" t="s">
        <v>10</v>
      </c>
      <c r="B3" s="5" t="s">
        <v>14</v>
      </c>
      <c r="C3" s="4" t="s">
        <v>15</v>
      </c>
      <c r="D3" s="4" t="s">
        <v>15</v>
      </c>
      <c r="E3" s="6">
        <v>1.006</v>
      </c>
      <c r="F3" s="7">
        <v>5</v>
      </c>
      <c r="G3" s="7">
        <v>5</v>
      </c>
      <c r="H3" s="8">
        <f t="shared" si="0"/>
        <v>5.03</v>
      </c>
      <c r="I3" s="9" t="s">
        <v>13</v>
      </c>
      <c r="J3" s="10" t="s">
        <v>59</v>
      </c>
    </row>
    <row r="4" spans="1:13" ht="43.2" x14ac:dyDescent="0.3">
      <c r="A4" s="4" t="s">
        <v>10</v>
      </c>
      <c r="B4" s="19" t="s">
        <v>37</v>
      </c>
      <c r="C4" s="15" t="s">
        <v>38</v>
      </c>
      <c r="D4" s="15" t="s">
        <v>39</v>
      </c>
      <c r="E4" s="16">
        <v>0.70199999999999996</v>
      </c>
      <c r="F4" s="17">
        <v>160</v>
      </c>
      <c r="G4" s="17">
        <v>160</v>
      </c>
      <c r="H4" s="16">
        <f>E4*F4</f>
        <v>112.32</v>
      </c>
      <c r="I4" s="18" t="s">
        <v>13</v>
      </c>
      <c r="J4" s="27" t="s">
        <v>64</v>
      </c>
    </row>
    <row r="5" spans="1:13" ht="43.2" x14ac:dyDescent="0.3">
      <c r="A5" s="4" t="s">
        <v>10</v>
      </c>
      <c r="B5" s="19" t="s">
        <v>40</v>
      </c>
      <c r="C5" s="15">
        <v>61304011121</v>
      </c>
      <c r="D5" s="15" t="s">
        <v>41</v>
      </c>
      <c r="E5" s="16">
        <v>0.68899999999999995</v>
      </c>
      <c r="F5" s="17">
        <v>200</v>
      </c>
      <c r="G5" s="17">
        <v>200</v>
      </c>
      <c r="H5" s="16">
        <f>E5*F5</f>
        <v>137.79999999999998</v>
      </c>
      <c r="I5" s="18" t="s">
        <v>13</v>
      </c>
      <c r="J5" s="27" t="s">
        <v>65</v>
      </c>
    </row>
    <row r="6" spans="1:13" ht="43.2" x14ac:dyDescent="0.3">
      <c r="A6" s="4" t="s">
        <v>10</v>
      </c>
      <c r="B6" s="19" t="s">
        <v>42</v>
      </c>
      <c r="C6" s="15">
        <v>61304011821</v>
      </c>
      <c r="D6" s="15" t="s">
        <v>43</v>
      </c>
      <c r="E6" s="16">
        <v>1.667</v>
      </c>
      <c r="F6" s="17">
        <v>80</v>
      </c>
      <c r="G6" s="17">
        <v>80</v>
      </c>
      <c r="H6" s="16">
        <f>E6*F6</f>
        <v>133.36000000000001</v>
      </c>
      <c r="I6" s="18" t="s">
        <v>13</v>
      </c>
      <c r="J6" s="26" t="s">
        <v>66</v>
      </c>
    </row>
    <row r="7" spans="1:13" s="11" customFormat="1" ht="28.8" x14ac:dyDescent="0.3">
      <c r="A7" s="4" t="s">
        <v>10</v>
      </c>
      <c r="B7" s="5" t="s">
        <v>19</v>
      </c>
      <c r="C7" s="4" t="s">
        <v>20</v>
      </c>
      <c r="D7" s="4" t="s">
        <v>21</v>
      </c>
      <c r="E7" s="7">
        <v>8.1000000000000003E-2</v>
      </c>
      <c r="F7" s="7">
        <v>100</v>
      </c>
      <c r="G7" s="7">
        <v>100</v>
      </c>
      <c r="H7" s="8">
        <f>E7*F7</f>
        <v>8.1</v>
      </c>
      <c r="I7" s="9" t="s">
        <v>13</v>
      </c>
      <c r="J7" s="10" t="s">
        <v>63</v>
      </c>
    </row>
    <row r="8" spans="1:13" s="11" customFormat="1" ht="43.2" x14ac:dyDescent="0.3">
      <c r="A8" s="4" t="s">
        <v>10</v>
      </c>
      <c r="B8" s="12" t="s">
        <v>16</v>
      </c>
      <c r="C8" s="4" t="s">
        <v>17</v>
      </c>
      <c r="D8" s="4" t="s">
        <v>18</v>
      </c>
      <c r="E8" s="7">
        <v>1.3360000000000001</v>
      </c>
      <c r="F8" s="7">
        <v>20</v>
      </c>
      <c r="G8" s="7">
        <v>20</v>
      </c>
      <c r="H8" s="8">
        <f t="shared" si="0"/>
        <v>26.720000000000002</v>
      </c>
      <c r="I8" s="9" t="s">
        <v>13</v>
      </c>
      <c r="J8" s="10" t="s">
        <v>62</v>
      </c>
    </row>
    <row r="9" spans="1:13" s="11" customFormat="1" ht="28.8" x14ac:dyDescent="0.3">
      <c r="A9" s="4" t="s">
        <v>10</v>
      </c>
      <c r="B9" s="12" t="s">
        <v>22</v>
      </c>
      <c r="C9" s="4" t="s">
        <v>23</v>
      </c>
      <c r="D9" s="4" t="s">
        <v>24</v>
      </c>
      <c r="E9" s="7">
        <v>1.6759999999999999</v>
      </c>
      <c r="F9" s="7">
        <v>50</v>
      </c>
      <c r="G9" s="7">
        <v>50</v>
      </c>
      <c r="H9" s="8">
        <f t="shared" si="0"/>
        <v>83.8</v>
      </c>
      <c r="I9" s="9" t="s">
        <v>13</v>
      </c>
      <c r="J9" s="10" t="s">
        <v>67</v>
      </c>
    </row>
    <row r="10" spans="1:13" s="11" customFormat="1" ht="28.8" x14ac:dyDescent="0.3">
      <c r="A10" s="4" t="s">
        <v>10</v>
      </c>
      <c r="B10" s="5" t="s">
        <v>25</v>
      </c>
      <c r="C10" s="4" t="s">
        <v>26</v>
      </c>
      <c r="D10" s="13" t="s">
        <v>27</v>
      </c>
      <c r="E10" s="7">
        <v>6.0999999999999999E-2</v>
      </c>
      <c r="F10" s="7">
        <v>100</v>
      </c>
      <c r="G10" s="7">
        <v>100</v>
      </c>
      <c r="H10" s="8">
        <f t="shared" si="0"/>
        <v>6.1</v>
      </c>
      <c r="I10" s="9" t="s">
        <v>13</v>
      </c>
      <c r="J10" s="10" t="s">
        <v>68</v>
      </c>
    </row>
    <row r="11" spans="1:13" s="11" customFormat="1" ht="43.2" x14ac:dyDescent="0.3">
      <c r="A11" s="4" t="s">
        <v>28</v>
      </c>
      <c r="B11" s="14" t="s">
        <v>29</v>
      </c>
      <c r="C11" s="15" t="s">
        <v>30</v>
      </c>
      <c r="D11" s="15">
        <v>2627682</v>
      </c>
      <c r="E11" s="16">
        <v>0.59499999999999997</v>
      </c>
      <c r="F11" s="17">
        <v>200</v>
      </c>
      <c r="G11" s="17">
        <v>200</v>
      </c>
      <c r="H11" s="16">
        <f t="shared" si="0"/>
        <v>119</v>
      </c>
      <c r="I11" s="18" t="s">
        <v>13</v>
      </c>
      <c r="J11" s="10" t="s">
        <v>61</v>
      </c>
    </row>
    <row r="12" spans="1:13" s="11" customFormat="1" ht="43.2" x14ac:dyDescent="0.3">
      <c r="A12" s="4" t="s">
        <v>10</v>
      </c>
      <c r="B12" s="19" t="s">
        <v>31</v>
      </c>
      <c r="C12" s="20" t="s">
        <v>32</v>
      </c>
      <c r="D12" s="21" t="s">
        <v>33</v>
      </c>
      <c r="E12" s="22">
        <v>1.38</v>
      </c>
      <c r="F12" s="23">
        <v>25</v>
      </c>
      <c r="G12" s="24">
        <v>125</v>
      </c>
      <c r="H12" s="25">
        <f t="shared" si="0"/>
        <v>34.5</v>
      </c>
      <c r="I12" s="18" t="s">
        <v>13</v>
      </c>
      <c r="J12" s="10" t="s">
        <v>61</v>
      </c>
    </row>
    <row r="13" spans="1:13" s="11" customFormat="1" ht="43.2" x14ac:dyDescent="0.3">
      <c r="A13" s="4" t="s">
        <v>10</v>
      </c>
      <c r="B13" s="26" t="s">
        <v>34</v>
      </c>
      <c r="C13" s="20" t="s">
        <v>35</v>
      </c>
      <c r="D13" s="21" t="s">
        <v>36</v>
      </c>
      <c r="E13" s="22">
        <v>5.56</v>
      </c>
      <c r="F13" s="23">
        <v>1</v>
      </c>
      <c r="G13" s="24">
        <v>1</v>
      </c>
      <c r="H13" s="25">
        <f t="shared" si="0"/>
        <v>5.56</v>
      </c>
      <c r="I13" s="18" t="s">
        <v>13</v>
      </c>
      <c r="J13" s="32" t="s">
        <v>75</v>
      </c>
    </row>
    <row r="14" spans="1:13" s="11" customFormat="1" ht="57.6" x14ac:dyDescent="0.3">
      <c r="A14" s="4" t="s">
        <v>10</v>
      </c>
      <c r="B14" s="26" t="s">
        <v>76</v>
      </c>
      <c r="C14" s="20" t="s">
        <v>44</v>
      </c>
      <c r="D14" s="21" t="s">
        <v>45</v>
      </c>
      <c r="E14" s="22">
        <v>0.52300000000000002</v>
      </c>
      <c r="F14" s="23">
        <v>50</v>
      </c>
      <c r="G14" s="24">
        <v>50</v>
      </c>
      <c r="H14" s="25">
        <f t="shared" si="0"/>
        <v>26.150000000000002</v>
      </c>
      <c r="I14" s="28" t="s">
        <v>13</v>
      </c>
      <c r="J14" s="10" t="s">
        <v>77</v>
      </c>
      <c r="K14" s="13" t="s">
        <v>78</v>
      </c>
      <c r="L14" s="4">
        <v>0</v>
      </c>
      <c r="M14" s="4">
        <v>0</v>
      </c>
    </row>
    <row r="15" spans="1:13" s="11" customFormat="1" ht="28.8" x14ac:dyDescent="0.3">
      <c r="A15" s="4" t="s">
        <v>10</v>
      </c>
      <c r="B15" s="26" t="s">
        <v>79</v>
      </c>
      <c r="C15" s="20" t="s">
        <v>80</v>
      </c>
      <c r="D15" s="21" t="s">
        <v>81</v>
      </c>
      <c r="E15" s="22">
        <v>0.79600000000000004</v>
      </c>
      <c r="F15" s="23">
        <v>10</v>
      </c>
      <c r="G15" s="24">
        <v>10</v>
      </c>
      <c r="H15" s="8">
        <f t="shared" ref="H15" si="1">E15*G15</f>
        <v>7.9600000000000009</v>
      </c>
      <c r="I15" s="28" t="s">
        <v>13</v>
      </c>
      <c r="J15" s="33" t="s">
        <v>82</v>
      </c>
      <c r="K15" s="4">
        <v>8</v>
      </c>
      <c r="L15" s="4">
        <v>0</v>
      </c>
      <c r="M15" s="4">
        <v>0</v>
      </c>
    </row>
    <row r="16" spans="1:13" s="11" customFormat="1" ht="28.8" x14ac:dyDescent="0.3">
      <c r="A16" s="4" t="s">
        <v>10</v>
      </c>
      <c r="B16" s="26" t="s">
        <v>83</v>
      </c>
      <c r="C16" s="20" t="s">
        <v>84</v>
      </c>
      <c r="D16" s="21" t="s">
        <v>85</v>
      </c>
      <c r="E16" s="22">
        <v>1.19</v>
      </c>
      <c r="F16" s="23">
        <v>1</v>
      </c>
      <c r="G16" s="24">
        <v>5</v>
      </c>
      <c r="H16" s="8">
        <f>E16*G16</f>
        <v>5.9499999999999993</v>
      </c>
      <c r="I16" s="28" t="s">
        <v>13</v>
      </c>
      <c r="J16" s="33" t="s">
        <v>86</v>
      </c>
      <c r="K16" s="4">
        <v>10</v>
      </c>
      <c r="L16" s="4">
        <v>0</v>
      </c>
      <c r="M16" s="4">
        <v>0</v>
      </c>
    </row>
    <row r="17" spans="1:13" s="11" customFormat="1" ht="28.8" x14ac:dyDescent="0.3">
      <c r="A17" s="4" t="s">
        <v>10</v>
      </c>
      <c r="B17" s="26" t="s">
        <v>46</v>
      </c>
      <c r="C17" s="20" t="s">
        <v>47</v>
      </c>
      <c r="D17" s="21" t="s">
        <v>48</v>
      </c>
      <c r="E17" s="22">
        <v>2.427</v>
      </c>
      <c r="F17" s="23">
        <v>45</v>
      </c>
      <c r="G17" s="24">
        <v>45</v>
      </c>
      <c r="H17" s="25">
        <f t="shared" ref="H17:H19" si="2">E17*F17</f>
        <v>109.215</v>
      </c>
      <c r="I17" s="28" t="s">
        <v>13</v>
      </c>
      <c r="J17" s="10"/>
      <c r="K17" s="4">
        <v>23</v>
      </c>
      <c r="L17" s="4">
        <v>0</v>
      </c>
      <c r="M17" s="4">
        <v>0</v>
      </c>
    </row>
    <row r="18" spans="1:13" s="11" customFormat="1" ht="43.2" x14ac:dyDescent="0.3">
      <c r="A18" s="4" t="s">
        <v>10</v>
      </c>
      <c r="B18" s="26" t="s">
        <v>49</v>
      </c>
      <c r="C18" s="20" t="s">
        <v>50</v>
      </c>
      <c r="D18" s="21" t="s">
        <v>51</v>
      </c>
      <c r="E18" s="22">
        <v>1.67</v>
      </c>
      <c r="F18" s="23">
        <v>5</v>
      </c>
      <c r="G18" s="24">
        <v>5</v>
      </c>
      <c r="H18" s="25">
        <f t="shared" si="2"/>
        <v>8.35</v>
      </c>
      <c r="I18" s="28" t="s">
        <v>13</v>
      </c>
      <c r="J18" s="10" t="s">
        <v>87</v>
      </c>
      <c r="K18" s="4">
        <v>3</v>
      </c>
      <c r="L18" s="4">
        <v>0</v>
      </c>
      <c r="M18" s="4">
        <v>0</v>
      </c>
    </row>
    <row r="19" spans="1:13" s="11" customFormat="1" ht="43.2" x14ac:dyDescent="0.3">
      <c r="A19" s="4" t="s">
        <v>10</v>
      </c>
      <c r="B19" s="26" t="s">
        <v>88</v>
      </c>
      <c r="C19" s="20" t="s">
        <v>89</v>
      </c>
      <c r="D19" s="21" t="s">
        <v>90</v>
      </c>
      <c r="E19" s="22">
        <v>0.95499999999999996</v>
      </c>
      <c r="F19" s="23">
        <v>2</v>
      </c>
      <c r="G19" s="24">
        <v>2</v>
      </c>
      <c r="H19" s="25">
        <f t="shared" si="2"/>
        <v>1.91</v>
      </c>
      <c r="I19" s="28" t="s">
        <v>13</v>
      </c>
      <c r="J19" s="10" t="s">
        <v>69</v>
      </c>
      <c r="K19" s="4">
        <v>2</v>
      </c>
      <c r="L19" s="4">
        <v>0</v>
      </c>
      <c r="M19" s="4">
        <v>0</v>
      </c>
    </row>
    <row r="20" spans="1:13" s="11" customFormat="1" ht="28.8" x14ac:dyDescent="0.3">
      <c r="A20" s="4" t="s">
        <v>10</v>
      </c>
      <c r="B20" s="26" t="s">
        <v>52</v>
      </c>
      <c r="C20" s="20" t="s">
        <v>53</v>
      </c>
      <c r="D20" s="21" t="s">
        <v>54</v>
      </c>
      <c r="E20" s="22">
        <v>0.67</v>
      </c>
      <c r="F20" s="23">
        <v>1</v>
      </c>
      <c r="G20" s="24">
        <v>1</v>
      </c>
      <c r="H20" s="25">
        <f t="shared" ref="H20:H21" si="3">E20*F20</f>
        <v>0.67</v>
      </c>
      <c r="I20" s="18" t="s">
        <v>13</v>
      </c>
      <c r="J20" s="10" t="s">
        <v>55</v>
      </c>
    </row>
    <row r="21" spans="1:13" s="11" customFormat="1" ht="43.2" x14ac:dyDescent="0.3">
      <c r="A21" s="4" t="s">
        <v>10</v>
      </c>
      <c r="B21" s="26" t="s">
        <v>56</v>
      </c>
      <c r="C21" s="20" t="s">
        <v>57</v>
      </c>
      <c r="D21" s="21" t="s">
        <v>58</v>
      </c>
      <c r="E21" s="22">
        <v>0.33</v>
      </c>
      <c r="F21" s="23">
        <v>25</v>
      </c>
      <c r="G21" s="24">
        <v>25</v>
      </c>
      <c r="H21" s="25">
        <f t="shared" si="3"/>
        <v>8.25</v>
      </c>
      <c r="I21" s="18" t="s">
        <v>13</v>
      </c>
      <c r="J21" s="10" t="s">
        <v>55</v>
      </c>
    </row>
    <row r="23" spans="1:13" x14ac:dyDescent="0.3">
      <c r="A23" s="29" t="s">
        <v>72</v>
      </c>
      <c r="B23" s="30"/>
    </row>
    <row r="24" spans="1:13" x14ac:dyDescent="0.3">
      <c r="A24" s="4" t="s">
        <v>70</v>
      </c>
      <c r="B24" s="26" t="s">
        <v>71</v>
      </c>
    </row>
    <row r="25" spans="1:13" ht="43.2" x14ac:dyDescent="0.3">
      <c r="A25" s="31" t="s">
        <v>73</v>
      </c>
      <c r="B25" s="26" t="s">
        <v>74</v>
      </c>
    </row>
  </sheetData>
  <hyperlinks>
    <hyperlink ref="I2" r:id="rId1" xr:uid="{13C9A95D-D0B3-4AF0-80FB-E00C35EBAED0}"/>
    <hyperlink ref="I8" r:id="rId2" xr:uid="{3DE1B28E-E3A3-42D1-BFA2-90D8EE47A1E6}"/>
    <hyperlink ref="I3" r:id="rId3" xr:uid="{D2993639-9F5A-406E-8829-D0E47CC97338}"/>
    <hyperlink ref="I7" r:id="rId4" xr:uid="{5A682DAD-AA82-4B83-9A20-124DFF2242B5}"/>
    <hyperlink ref="I9" r:id="rId5" xr:uid="{E66A73A9-096C-4B1A-9E5E-49F281E0CDB9}"/>
    <hyperlink ref="I10" r:id="rId6" xr:uid="{3268D61B-36EA-44BC-A160-11C04B02EDE9}"/>
    <hyperlink ref="I11" r:id="rId7" xr:uid="{2A23A1CE-8624-4A83-B53F-66A2994BAAF0}"/>
    <hyperlink ref="I12" r:id="rId8" xr:uid="{614042A6-E1C2-4C81-9F19-DE70537E47C3}"/>
    <hyperlink ref="I13" r:id="rId9" xr:uid="{2D9A28F8-2880-4C69-A95E-E4838CC4C88D}"/>
    <hyperlink ref="I4" r:id="rId10" xr:uid="{51B9ED1D-DBEB-46BB-BC0A-3C5CAEE19D8A}"/>
    <hyperlink ref="I5" r:id="rId11" xr:uid="{BC9C9C2E-E137-4D44-A602-669DE40C8BD3}"/>
    <hyperlink ref="I6" r:id="rId12" xr:uid="{EADF6BC7-707D-4913-914C-7F21E93A4E62}"/>
    <hyperlink ref="I20" r:id="rId13" xr:uid="{7775D72A-A8E7-43CA-A324-43526EE269F9}"/>
    <hyperlink ref="I21" r:id="rId14" xr:uid="{EC49C2CA-5A9F-4081-AA7D-3843EB588810}"/>
    <hyperlink ref="I14" r:id="rId15" xr:uid="{BD3D1CD5-B796-48E0-8BB2-D64FF6FB4587}"/>
    <hyperlink ref="I17" r:id="rId16" xr:uid="{3598CC52-1313-4A4E-BEDE-C0C79974E194}"/>
    <hyperlink ref="I18" r:id="rId17" xr:uid="{C51B5DB8-2812-45C9-9165-3E4380339EDF}"/>
    <hyperlink ref="I19" r:id="rId18" xr:uid="{C487A44B-D9D1-4A8B-9FDE-7876404430D6}"/>
    <hyperlink ref="I16" r:id="rId19" xr:uid="{6F055445-62F8-4D1F-B6F1-E887D2D9C0F1}"/>
    <hyperlink ref="I15" r:id="rId20" xr:uid="{9F3B019B-F12D-4ACF-ACF7-D9858AB3AF36}"/>
  </hyperlinks>
  <pageMargins left="0.7" right="0.7" top="0.75" bottom="0.75" header="0.3" footer="0.3"/>
  <pageSetup orientation="portrait" r:id="rId2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E44CE-2543-4890-AAD0-E0D0A2D63D7F}">
  <dimension ref="A1"/>
  <sheetViews>
    <sheetView workbookViewId="0"/>
  </sheetViews>
  <sheetFormatPr baseColWidth="10"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rs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Jose Sieiro Cordoba</dc:creator>
  <cp:lastModifiedBy>Javier Jose Sieiro Cordoba</cp:lastModifiedBy>
  <dcterms:created xsi:type="dcterms:W3CDTF">2023-09-22T15:01:14Z</dcterms:created>
  <dcterms:modified xsi:type="dcterms:W3CDTF">2024-09-27T16:55:48Z</dcterms:modified>
</cp:coreProperties>
</file>